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128\Documents\GitHub\DOCS-UTFPR\DOCS AULAS\2024.1\GACO1A - GEOMETRIA ANALÍTICA\atividades e avaliações\portifolio durante a matéria\01 - 09.03.2024\"/>
    </mc:Choice>
  </mc:AlternateContent>
  <xr:revisionPtr revIDLastSave="0" documentId="13_ncr:1_{435234ED-FF7B-4C50-9280-FE927AFA0104}" xr6:coauthVersionLast="47" xr6:coauthVersionMax="47" xr10:uidLastSave="{00000000-0000-0000-0000-000000000000}"/>
  <bookViews>
    <workbookView xWindow="-120" yWindow="-120" windowWidth="20730" windowHeight="11160" xr2:uid="{1EE5DE9B-68BD-48DD-B1F1-8A8D17DAED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1" l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<sst xmlns="http://schemas.openxmlformats.org/spreadsheetml/2006/main" count="310" uniqueCount="122">
  <si>
    <t>Segunda-feira</t>
  </si>
  <si>
    <t>Terça-feira</t>
  </si>
  <si>
    <t>Quarta-feira</t>
  </si>
  <si>
    <t>Quinta-feira</t>
  </si>
  <si>
    <t>Sexta-feira</t>
  </si>
  <si>
    <t>Sábado</t>
  </si>
  <si>
    <t>Domingo</t>
  </si>
  <si>
    <t>12:00 - 12:50</t>
  </si>
  <si>
    <t>12:50 - 13:30</t>
  </si>
  <si>
    <t>13:30 - 13:55</t>
  </si>
  <si>
    <t>13:55 - 14:00</t>
  </si>
  <si>
    <t>14:00 - 14:25</t>
  </si>
  <si>
    <t>14:25 - 14:30</t>
  </si>
  <si>
    <t>14:30 - 14:55</t>
  </si>
  <si>
    <t>14:55 - 15:00</t>
  </si>
  <si>
    <t>15:00 - 15:25</t>
  </si>
  <si>
    <t>15:25 - 15:30</t>
  </si>
  <si>
    <t>15:30 - 15:55</t>
  </si>
  <si>
    <t>15:55 - 16:00</t>
  </si>
  <si>
    <t xml:space="preserve">16:00 - 16:25 </t>
  </si>
  <si>
    <t>16:25 - 16:30</t>
  </si>
  <si>
    <t>16:30 - 16:55</t>
  </si>
  <si>
    <t>16:55 - 17:00</t>
  </si>
  <si>
    <t>Almoço</t>
  </si>
  <si>
    <t>Horários / Dias</t>
  </si>
  <si>
    <t>11:10 - 12:00</t>
  </si>
  <si>
    <t>10:20 - 11:10</t>
  </si>
  <si>
    <t>10:00 - 10:20</t>
  </si>
  <si>
    <t>09:10 - 10:00</t>
  </si>
  <si>
    <t>08:20 - 09:10</t>
  </si>
  <si>
    <t>07:30 - 08:20</t>
  </si>
  <si>
    <t>Leitura</t>
  </si>
  <si>
    <t>Realinhamento</t>
  </si>
  <si>
    <t>ECCO1A</t>
  </si>
  <si>
    <t>Intervalo</t>
  </si>
  <si>
    <t>GACO1A</t>
  </si>
  <si>
    <t>LCCO1A</t>
  </si>
  <si>
    <t>LICO1A</t>
  </si>
  <si>
    <t>MECO1A</t>
  </si>
  <si>
    <t>CGCO1A</t>
  </si>
  <si>
    <t>FDCO1A</t>
  </si>
  <si>
    <t>DECO1A</t>
  </si>
  <si>
    <t>17:00 - 17:20</t>
  </si>
  <si>
    <t>17:20 - 17:30</t>
  </si>
  <si>
    <t>Estudo GACO1A</t>
  </si>
  <si>
    <t>Pausa</t>
  </si>
  <si>
    <t>Estudo ECCO1A</t>
  </si>
  <si>
    <t>Estudo Linguas</t>
  </si>
  <si>
    <t>Estudo LCCO1A</t>
  </si>
  <si>
    <t>Estudo LICO1A</t>
  </si>
  <si>
    <t>Estudo MECO1A</t>
  </si>
  <si>
    <t>Estudo CGCO1A</t>
  </si>
  <si>
    <t>Estudo FDCO1A</t>
  </si>
  <si>
    <t>Estudo DECO1A</t>
  </si>
  <si>
    <t>Matéria</t>
  </si>
  <si>
    <t>Aulas/Semana</t>
  </si>
  <si>
    <t>20:00 - 21:00</t>
  </si>
  <si>
    <t>21:20 - 22:40</t>
  </si>
  <si>
    <t>21:00 - 21:20</t>
  </si>
  <si>
    <t xml:space="preserve">Horário Coringa </t>
  </si>
  <si>
    <t>Descanso</t>
  </si>
  <si>
    <t>Almoço + Descanso</t>
  </si>
  <si>
    <t xml:space="preserve">Almoço </t>
  </si>
  <si>
    <t>Item</t>
  </si>
  <si>
    <t>Minutos/Semana</t>
  </si>
  <si>
    <t>Horas/Semana</t>
  </si>
  <si>
    <t>1h50m</t>
  </si>
  <si>
    <t>2h20m</t>
  </si>
  <si>
    <t>2h30m</t>
  </si>
  <si>
    <t>3h30m</t>
  </si>
  <si>
    <t>2h50m</t>
  </si>
  <si>
    <t>4h40m</t>
  </si>
  <si>
    <t>3h25m</t>
  </si>
  <si>
    <t>2h35m</t>
  </si>
  <si>
    <t>4h05m</t>
  </si>
  <si>
    <t>Dias da Semana</t>
  </si>
  <si>
    <t>Seg</t>
  </si>
  <si>
    <t>Ter</t>
  </si>
  <si>
    <t>Qua</t>
  </si>
  <si>
    <t>Qui</t>
  </si>
  <si>
    <t>Sex</t>
  </si>
  <si>
    <t>Sáb</t>
  </si>
  <si>
    <t>Dom</t>
  </si>
  <si>
    <t>Horas Aulas</t>
  </si>
  <si>
    <t>4h10m</t>
  </si>
  <si>
    <t>3h20m</t>
  </si>
  <si>
    <t>5h00m</t>
  </si>
  <si>
    <t>0h00m</t>
  </si>
  <si>
    <t>Total</t>
  </si>
  <si>
    <t>Horas Estudo Classificados</t>
  </si>
  <si>
    <t>3h55m</t>
  </si>
  <si>
    <t>4h15m</t>
  </si>
  <si>
    <t>5h15m</t>
  </si>
  <si>
    <t>1h40m</t>
  </si>
  <si>
    <t>8h05m</t>
  </si>
  <si>
    <t>8h25m</t>
  </si>
  <si>
    <t>8h35m</t>
  </si>
  <si>
    <t>8h50m</t>
  </si>
  <si>
    <t>0h50m</t>
  </si>
  <si>
    <t>2h55m</t>
  </si>
  <si>
    <t>8h55m</t>
  </si>
  <si>
    <t>Cores</t>
  </si>
  <si>
    <t>Significados</t>
  </si>
  <si>
    <t>Estudo Catalogado</t>
  </si>
  <si>
    <t>Descanço</t>
  </si>
  <si>
    <t>Aulas Normais</t>
  </si>
  <si>
    <t>L</t>
  </si>
  <si>
    <t>E</t>
  </si>
  <si>
    <t>G</t>
  </si>
  <si>
    <t>N</t>
  </si>
  <si>
    <t>D</t>
  </si>
  <si>
    <t>A</t>
  </si>
  <si>
    <t>Horários Coringa ou Replanejamento e Linguas</t>
  </si>
  <si>
    <t>Total Horas/Semana</t>
  </si>
  <si>
    <t>Horas Estudo/Semana</t>
  </si>
  <si>
    <t>3h50m</t>
  </si>
  <si>
    <t>6h00m</t>
  </si>
  <si>
    <t>5h25m</t>
  </si>
  <si>
    <t>4h30m</t>
  </si>
  <si>
    <t>9h40m</t>
  </si>
  <si>
    <t>5h05m</t>
  </si>
  <si>
    <t>7h25m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</si>
</sst>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B6B6B6"/>
        <bgColor indexed="64"/>
      </patternFill>
    </fill>
    <fill>
      <patternFill patternType="solid">
        <fgColor rgb="FFFFD43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BF95DF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3" borderId="0" applyFont="0" applyAlignment="0">
      <alignment horizontal="center" vertical="center"/>
    </xf>
  </cellStyleXfs>
  <cellXfs count="29">
    <xf numFmtId="0" fontId="0" fillId="0" borderId="0" xfId="0"/>
    <xf numFmtId="0" fontId="6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20" fontId="3" fillId="3" borderId="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11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10" borderId="0" xfId="0" applyFont="1" applyFill="1" applyAlignment="1">
      <alignment horizontal="left"/>
    </xf>
    <xf numFmtId="0" fontId="8" fillId="7" borderId="0" xfId="0" applyFont="1" applyFill="1" applyAlignment="1">
      <alignment horizontal="left"/>
    </xf>
    <xf numFmtId="0" fontId="8" fillId="9" borderId="0" xfId="0" applyFont="1" applyFill="1" applyAlignment="1">
      <alignment horizontal="left"/>
    </xf>
    <xf numFmtId="0" fontId="8" fillId="8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4" fillId="11" borderId="7" xfId="0" applyFont="1" applyFill="1" applyBorder="1" applyAlignment="1">
      <alignment horizontal="center"/>
    </xf>
  </cellXfs>
  <cellStyles count="2">
    <cellStyle name="Estilo 1" xfId="1" xr:uid="{329C30CA-8CBD-4A3A-A431-D608D74486C3}"/>
    <cellStyle name="Normal" xfId="0" builtinId="0"/>
  </cellStyles>
  <dxfs count="17"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fill>
        <patternFill patternType="solid">
          <fgColor indexed="64"/>
          <bgColor rgb="FFB6B6B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BF95DF"/>
      <color rgb="FFFFD437"/>
      <color rgb="FFFF6565"/>
      <color rgb="FFB6B6B6"/>
      <color rgb="FFC5C5C5"/>
      <color rgb="FFE0E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04A30-08B9-4905-A273-E82FB1C30070}" name="Tabela1" displayName="Tabela1" ref="A1:H28" totalsRowShown="0" headerRowDxfId="16" dataDxfId="14" headerRowBorderDxfId="15" tableBorderDxfId="13" totalsRowBorderDxfId="12">
  <autoFilter ref="A1:H28" xr:uid="{66C04A30-08B9-4905-A273-E82FB1C30070}"/>
  <tableColumns count="8">
    <tableColumn id="1" xr3:uid="{35E44F73-9BD5-4AD6-87C8-8EB6F9C40296}" name="Horários / Dias" dataDxfId="11"/>
    <tableColumn id="2" xr3:uid="{49E3047F-7D3E-4194-AFC7-354DA799250C}" name="Segunda-feira" dataDxfId="10"/>
    <tableColumn id="3" xr3:uid="{838ED622-D2EB-43B2-BFBF-DE728E57EF86}" name="Terça-feira" dataDxfId="9"/>
    <tableColumn id="4" xr3:uid="{49C39EDA-762A-40CE-8925-F4858749E40B}" name="Quarta-feira" dataDxfId="8"/>
    <tableColumn id="5" xr3:uid="{D38160D6-B65E-4FEF-8556-2BF16B9B3DC4}" name="Quinta-feira" dataDxfId="7"/>
    <tableColumn id="6" xr3:uid="{4F908FFD-5E5D-4EC9-A8B9-84D5E2F1017A}" name="Sexta-feira" dataDxfId="6"/>
    <tableColumn id="7" xr3:uid="{4EE354AF-2BCB-4BFD-B790-BB6158637824}" name="Sábado" dataDxfId="5"/>
    <tableColumn id="8" xr3:uid="{3573F7DC-F187-4082-A959-DB824AFF99E8}" name="Domingo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958C8-2503-46F1-AC9B-4AE1D1E8AC65}" name="Tabela2" displayName="Tabela2" ref="AC35:AD41" totalsRowShown="0" headerRowDxfId="3" dataDxfId="2">
  <autoFilter ref="AC35:AD41" xr:uid="{190958C8-2503-46F1-AC9B-4AE1D1E8AC65}"/>
  <tableColumns count="2">
    <tableColumn id="1" xr3:uid="{89435842-8E1F-402F-B162-872AB4022E35}" name="Cores" dataDxfId="1"/>
    <tableColumn id="2" xr3:uid="{BC2AC3C7-418F-4960-9348-4E0BE7F705D5}" name="Significados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6CED-FCBC-4933-BC80-194718744C6A}">
  <dimension ref="A1:AD41"/>
  <sheetViews>
    <sheetView tabSelected="1" topLeftCell="D7" zoomScale="85" zoomScaleNormal="85" workbookViewId="0">
      <selection activeCell="J2" sqref="J2:O29"/>
    </sheetView>
  </sheetViews>
  <sheetFormatPr defaultRowHeight="15" x14ac:dyDescent="0.25"/>
  <cols>
    <col min="1" max="1" width="15" customWidth="1"/>
    <col min="2" max="2" width="20.140625" customWidth="1"/>
    <col min="3" max="3" width="16.7109375" customWidth="1"/>
    <col min="4" max="4" width="19.7109375" customWidth="1"/>
    <col min="5" max="5" width="19.42578125" customWidth="1"/>
    <col min="6" max="6" width="16.7109375" customWidth="1"/>
    <col min="7" max="7" width="15.5703125" customWidth="1"/>
    <col min="8" max="8" width="16.28515625" customWidth="1"/>
    <col min="11" max="11" width="15.85546875" bestFit="1" customWidth="1"/>
    <col min="12" max="12" width="17.42578125" bestFit="1" customWidth="1"/>
    <col min="13" max="14" width="29.42578125" bestFit="1" customWidth="1"/>
    <col min="15" max="15" width="29.5703125" bestFit="1" customWidth="1"/>
    <col min="16" max="16" width="22.7109375" bestFit="1" customWidth="1"/>
    <col min="17" max="17" width="20.7109375" bestFit="1" customWidth="1"/>
    <col min="29" max="29" width="15.85546875" customWidth="1"/>
    <col min="30" max="30" width="69.7109375" bestFit="1" customWidth="1"/>
  </cols>
  <sheetData>
    <row r="1" spans="1:14" ht="18" x14ac:dyDescent="0.25">
      <c r="A1" s="1" t="s">
        <v>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</row>
    <row r="2" spans="1:14" ht="15.75" x14ac:dyDescent="0.25">
      <c r="A2" s="12" t="s">
        <v>30</v>
      </c>
      <c r="B2" s="5" t="s">
        <v>33</v>
      </c>
      <c r="C2" s="5" t="s">
        <v>36</v>
      </c>
      <c r="D2" s="5" t="s">
        <v>38</v>
      </c>
      <c r="E2" s="5" t="s">
        <v>40</v>
      </c>
      <c r="F2" s="11" t="s">
        <v>59</v>
      </c>
      <c r="G2" s="7" t="s">
        <v>60</v>
      </c>
      <c r="H2" s="7" t="s">
        <v>60</v>
      </c>
    </row>
    <row r="3" spans="1:14" ht="15.75" x14ac:dyDescent="0.25">
      <c r="A3" s="13" t="s">
        <v>29</v>
      </c>
      <c r="B3" s="5" t="s">
        <v>33</v>
      </c>
      <c r="C3" s="5" t="s">
        <v>36</v>
      </c>
      <c r="D3" s="5" t="s">
        <v>38</v>
      </c>
      <c r="E3" s="5" t="s">
        <v>40</v>
      </c>
      <c r="F3" s="5" t="s">
        <v>39</v>
      </c>
      <c r="G3" s="7" t="s">
        <v>60</v>
      </c>
      <c r="H3" s="11" t="s">
        <v>59</v>
      </c>
      <c r="K3" s="17" t="s">
        <v>54</v>
      </c>
      <c r="L3" s="17" t="s">
        <v>55</v>
      </c>
      <c r="M3" s="18" t="s">
        <v>114</v>
      </c>
      <c r="N3" s="18" t="s">
        <v>113</v>
      </c>
    </row>
    <row r="4" spans="1:14" ht="15.75" x14ac:dyDescent="0.25">
      <c r="A4" s="12" t="s">
        <v>28</v>
      </c>
      <c r="B4" s="5" t="s">
        <v>35</v>
      </c>
      <c r="C4" s="5" t="s">
        <v>36</v>
      </c>
      <c r="D4" s="8" t="s">
        <v>31</v>
      </c>
      <c r="E4" s="5" t="s">
        <v>41</v>
      </c>
      <c r="F4" s="5" t="s">
        <v>39</v>
      </c>
      <c r="G4" s="7" t="s">
        <v>60</v>
      </c>
      <c r="H4" s="9" t="s">
        <v>45</v>
      </c>
      <c r="K4" s="5" t="s">
        <v>33</v>
      </c>
      <c r="L4" s="16">
        <f>COUNTIF(B2:F9, "ECCO1A")</f>
        <v>2</v>
      </c>
      <c r="M4" s="16" t="s">
        <v>68</v>
      </c>
      <c r="N4" s="16" t="s">
        <v>115</v>
      </c>
    </row>
    <row r="5" spans="1:14" ht="15.75" x14ac:dyDescent="0.25">
      <c r="A5" s="13" t="s">
        <v>27</v>
      </c>
      <c r="B5" s="7" t="s">
        <v>34</v>
      </c>
      <c r="C5" s="7" t="s">
        <v>34</v>
      </c>
      <c r="D5" s="7" t="s">
        <v>34</v>
      </c>
      <c r="E5" s="7" t="s">
        <v>34</v>
      </c>
      <c r="F5" s="7" t="s">
        <v>34</v>
      </c>
      <c r="G5" s="7" t="s">
        <v>60</v>
      </c>
      <c r="H5" s="9" t="s">
        <v>45</v>
      </c>
      <c r="K5" s="5" t="s">
        <v>35</v>
      </c>
      <c r="L5" s="16">
        <f>COUNTIF(B2:F9, "GaCO1A")</f>
        <v>3</v>
      </c>
      <c r="M5" s="16" t="s">
        <v>69</v>
      </c>
      <c r="N5" s="16" t="s">
        <v>116</v>
      </c>
    </row>
    <row r="6" spans="1:14" ht="15.75" x14ac:dyDescent="0.25">
      <c r="A6" s="12" t="s">
        <v>26</v>
      </c>
      <c r="B6" s="5" t="s">
        <v>35</v>
      </c>
      <c r="C6" s="5" t="s">
        <v>37</v>
      </c>
      <c r="D6" s="6" t="s">
        <v>32</v>
      </c>
      <c r="E6" s="5" t="s">
        <v>41</v>
      </c>
      <c r="F6" s="5" t="s">
        <v>40</v>
      </c>
      <c r="G6" s="7" t="s">
        <v>60</v>
      </c>
      <c r="H6" s="11" t="s">
        <v>59</v>
      </c>
      <c r="K6" s="5" t="s">
        <v>36</v>
      </c>
      <c r="L6" s="16">
        <f>COUNTIF(B2:F9, "LCCO1A")</f>
        <v>3</v>
      </c>
      <c r="M6" s="16" t="s">
        <v>99</v>
      </c>
      <c r="N6" s="16" t="s">
        <v>117</v>
      </c>
    </row>
    <row r="7" spans="1:14" ht="15.75" x14ac:dyDescent="0.25">
      <c r="A7" s="13" t="s">
        <v>25</v>
      </c>
      <c r="B7" s="5" t="s">
        <v>35</v>
      </c>
      <c r="C7" s="5" t="s">
        <v>37</v>
      </c>
      <c r="D7" s="5" t="s">
        <v>39</v>
      </c>
      <c r="E7" s="5" t="s">
        <v>39</v>
      </c>
      <c r="F7" s="5" t="s">
        <v>40</v>
      </c>
      <c r="G7" s="7" t="s">
        <v>60</v>
      </c>
      <c r="H7" s="7" t="s">
        <v>60</v>
      </c>
      <c r="K7" s="5" t="s">
        <v>37</v>
      </c>
      <c r="L7" s="16">
        <f>COUNTIF(B2:F9, "LICO1A")</f>
        <v>2</v>
      </c>
      <c r="M7" s="16" t="s">
        <v>70</v>
      </c>
      <c r="N7" s="16" t="s">
        <v>118</v>
      </c>
    </row>
    <row r="8" spans="1:14" ht="15.75" x14ac:dyDescent="0.25">
      <c r="A8" s="12" t="s">
        <v>7</v>
      </c>
      <c r="B8" s="7" t="s">
        <v>23</v>
      </c>
      <c r="C8" s="7" t="s">
        <v>23</v>
      </c>
      <c r="D8" s="5" t="s">
        <v>39</v>
      </c>
      <c r="E8" s="5" t="s">
        <v>39</v>
      </c>
      <c r="F8" s="7" t="s">
        <v>23</v>
      </c>
      <c r="G8" s="7" t="s">
        <v>62</v>
      </c>
      <c r="H8" s="7" t="s">
        <v>62</v>
      </c>
      <c r="K8" s="5" t="s">
        <v>39</v>
      </c>
      <c r="L8" s="16">
        <f>COUNTIF(B2:F9, "CGCO1A")</f>
        <v>6</v>
      </c>
      <c r="M8" s="16" t="s">
        <v>71</v>
      </c>
      <c r="N8" s="16" t="s">
        <v>119</v>
      </c>
    </row>
    <row r="9" spans="1:14" ht="15.75" x14ac:dyDescent="0.25">
      <c r="A9" s="13" t="s">
        <v>8</v>
      </c>
      <c r="B9" s="7" t="s">
        <v>60</v>
      </c>
      <c r="C9" s="7" t="s">
        <v>60</v>
      </c>
      <c r="D9" s="7" t="s">
        <v>61</v>
      </c>
      <c r="E9" s="7" t="s">
        <v>61</v>
      </c>
      <c r="F9" s="7" t="s">
        <v>60</v>
      </c>
      <c r="G9" s="7" t="s">
        <v>60</v>
      </c>
      <c r="H9" s="7" t="s">
        <v>60</v>
      </c>
      <c r="K9" s="5" t="s">
        <v>38</v>
      </c>
      <c r="L9" s="16">
        <f>COUNTIF(B2:F9, "MECO1A")</f>
        <v>2</v>
      </c>
      <c r="M9" s="16" t="s">
        <v>72</v>
      </c>
      <c r="N9" s="16" t="s">
        <v>120</v>
      </c>
    </row>
    <row r="10" spans="1:14" ht="15.75" x14ac:dyDescent="0.25">
      <c r="A10" s="12" t="s">
        <v>9</v>
      </c>
      <c r="B10" s="10" t="s">
        <v>44</v>
      </c>
      <c r="C10" s="10" t="s">
        <v>48</v>
      </c>
      <c r="D10" s="10" t="s">
        <v>50</v>
      </c>
      <c r="E10" s="10" t="s">
        <v>52</v>
      </c>
      <c r="F10" s="10" t="s">
        <v>52</v>
      </c>
      <c r="G10" s="7" t="s">
        <v>60</v>
      </c>
      <c r="H10" s="8" t="s">
        <v>31</v>
      </c>
      <c r="K10" s="5" t="s">
        <v>41</v>
      </c>
      <c r="L10" s="16">
        <f>COUNTIF(B2:F9, "DECO1A")</f>
        <v>2</v>
      </c>
      <c r="M10" s="16" t="s">
        <v>73</v>
      </c>
      <c r="N10" s="16" t="s">
        <v>74</v>
      </c>
    </row>
    <row r="11" spans="1:14" ht="15.75" x14ac:dyDescent="0.25">
      <c r="A11" s="14" t="s">
        <v>10</v>
      </c>
      <c r="B11" s="9" t="s">
        <v>45</v>
      </c>
      <c r="C11" s="9" t="s">
        <v>45</v>
      </c>
      <c r="D11" s="9" t="s">
        <v>45</v>
      </c>
      <c r="E11" s="9" t="s">
        <v>45</v>
      </c>
      <c r="F11" s="9" t="s">
        <v>45</v>
      </c>
      <c r="G11" s="7" t="s">
        <v>60</v>
      </c>
      <c r="H11" s="9" t="s">
        <v>45</v>
      </c>
      <c r="K11" s="5" t="s">
        <v>40</v>
      </c>
      <c r="L11" s="16">
        <f>COUNTIF(B2:F9, "FDCO1A")</f>
        <v>4</v>
      </c>
      <c r="M11" s="16" t="s">
        <v>74</v>
      </c>
      <c r="N11" s="16" t="s">
        <v>121</v>
      </c>
    </row>
    <row r="12" spans="1:14" ht="15.75" x14ac:dyDescent="0.25">
      <c r="A12" s="12" t="s">
        <v>11</v>
      </c>
      <c r="B12" s="10" t="s">
        <v>44</v>
      </c>
      <c r="C12" s="10" t="s">
        <v>48</v>
      </c>
      <c r="D12" s="10" t="s">
        <v>50</v>
      </c>
      <c r="E12" s="10" t="s">
        <v>52</v>
      </c>
      <c r="F12" s="10" t="s">
        <v>52</v>
      </c>
      <c r="G12" s="8" t="s">
        <v>31</v>
      </c>
      <c r="H12" s="8" t="s">
        <v>31</v>
      </c>
    </row>
    <row r="13" spans="1:14" ht="15.75" x14ac:dyDescent="0.25">
      <c r="A13" s="14" t="s">
        <v>12</v>
      </c>
      <c r="B13" s="9" t="s">
        <v>45</v>
      </c>
      <c r="C13" s="9" t="s">
        <v>45</v>
      </c>
      <c r="D13" s="9" t="s">
        <v>45</v>
      </c>
      <c r="E13" s="9" t="s">
        <v>45</v>
      </c>
      <c r="F13" s="9" t="s">
        <v>45</v>
      </c>
      <c r="G13" s="9" t="s">
        <v>45</v>
      </c>
      <c r="H13" s="9" t="s">
        <v>45</v>
      </c>
    </row>
    <row r="14" spans="1:14" ht="15.75" x14ac:dyDescent="0.25">
      <c r="A14" s="12" t="s">
        <v>13</v>
      </c>
      <c r="B14" s="10" t="s">
        <v>44</v>
      </c>
      <c r="C14" s="10" t="s">
        <v>49</v>
      </c>
      <c r="D14" s="10" t="s">
        <v>51</v>
      </c>
      <c r="E14" s="10" t="s">
        <v>51</v>
      </c>
      <c r="F14" s="10" t="s">
        <v>53</v>
      </c>
      <c r="G14" s="8" t="s">
        <v>31</v>
      </c>
      <c r="H14" s="28" t="s">
        <v>48</v>
      </c>
      <c r="K14" s="17" t="s">
        <v>63</v>
      </c>
      <c r="L14" s="17" t="s">
        <v>64</v>
      </c>
      <c r="M14" s="17" t="s">
        <v>65</v>
      </c>
    </row>
    <row r="15" spans="1:14" ht="15.75" x14ac:dyDescent="0.25">
      <c r="A15" s="14" t="s">
        <v>14</v>
      </c>
      <c r="B15" s="9" t="s">
        <v>45</v>
      </c>
      <c r="C15" s="9" t="s">
        <v>45</v>
      </c>
      <c r="D15" s="9" t="s">
        <v>45</v>
      </c>
      <c r="E15" s="9" t="s">
        <v>45</v>
      </c>
      <c r="F15" s="9" t="s">
        <v>45</v>
      </c>
      <c r="G15" s="9" t="s">
        <v>45</v>
      </c>
      <c r="H15" s="9" t="s">
        <v>45</v>
      </c>
      <c r="K15" s="6" t="s">
        <v>59</v>
      </c>
      <c r="L15" s="16">
        <v>530</v>
      </c>
      <c r="M15" s="16" t="s">
        <v>97</v>
      </c>
    </row>
    <row r="16" spans="1:14" ht="15.75" x14ac:dyDescent="0.25">
      <c r="A16" s="12" t="s">
        <v>15</v>
      </c>
      <c r="B16" s="10" t="s">
        <v>46</v>
      </c>
      <c r="C16" s="10" t="s">
        <v>49</v>
      </c>
      <c r="D16" s="10" t="s">
        <v>51</v>
      </c>
      <c r="E16" s="10" t="s">
        <v>51</v>
      </c>
      <c r="F16" s="10" t="s">
        <v>50</v>
      </c>
      <c r="G16" s="10" t="s">
        <v>46</v>
      </c>
      <c r="H16" s="28" t="s">
        <v>48</v>
      </c>
      <c r="K16" s="6" t="s">
        <v>32</v>
      </c>
      <c r="L16" s="16">
        <v>110</v>
      </c>
      <c r="M16" s="16" t="s">
        <v>66</v>
      </c>
    </row>
    <row r="17" spans="1:14" ht="15.75" x14ac:dyDescent="0.25">
      <c r="A17" s="14" t="s">
        <v>16</v>
      </c>
      <c r="B17" s="9" t="s">
        <v>45</v>
      </c>
      <c r="C17" s="9" t="s">
        <v>45</v>
      </c>
      <c r="D17" s="9" t="s">
        <v>45</v>
      </c>
      <c r="E17" s="9" t="s">
        <v>45</v>
      </c>
      <c r="F17" s="9" t="s">
        <v>45</v>
      </c>
      <c r="G17" s="9" t="s">
        <v>45</v>
      </c>
      <c r="H17" s="9" t="s">
        <v>45</v>
      </c>
      <c r="K17" s="8" t="s">
        <v>31</v>
      </c>
      <c r="L17" s="16">
        <v>150</v>
      </c>
      <c r="M17" s="16" t="s">
        <v>68</v>
      </c>
    </row>
    <row r="18" spans="1:14" ht="15.75" x14ac:dyDescent="0.25">
      <c r="A18" s="12" t="s">
        <v>17</v>
      </c>
      <c r="B18" s="10" t="s">
        <v>46</v>
      </c>
      <c r="C18" s="10" t="s">
        <v>44</v>
      </c>
      <c r="D18" s="10" t="s">
        <v>51</v>
      </c>
      <c r="E18" s="10" t="s">
        <v>51</v>
      </c>
      <c r="F18" s="10" t="s">
        <v>52</v>
      </c>
      <c r="G18" s="10" t="s">
        <v>46</v>
      </c>
      <c r="H18" s="28" t="s">
        <v>48</v>
      </c>
      <c r="K18" s="11" t="s">
        <v>47</v>
      </c>
      <c r="L18" s="16">
        <v>140</v>
      </c>
      <c r="M18" s="16" t="s">
        <v>67</v>
      </c>
    </row>
    <row r="19" spans="1:14" ht="15.75" x14ac:dyDescent="0.25">
      <c r="A19" s="14" t="s">
        <v>18</v>
      </c>
      <c r="B19" s="9" t="s">
        <v>45</v>
      </c>
      <c r="C19" s="9" t="s">
        <v>45</v>
      </c>
      <c r="D19" s="9" t="s">
        <v>45</v>
      </c>
      <c r="E19" s="9" t="s">
        <v>45</v>
      </c>
      <c r="F19" s="9" t="s">
        <v>45</v>
      </c>
      <c r="G19" s="9" t="s">
        <v>45</v>
      </c>
      <c r="H19" s="7" t="s">
        <v>60</v>
      </c>
    </row>
    <row r="20" spans="1:14" ht="15.75" x14ac:dyDescent="0.25">
      <c r="A20" s="12" t="s">
        <v>19</v>
      </c>
      <c r="B20" s="10" t="s">
        <v>48</v>
      </c>
      <c r="C20" s="10" t="s">
        <v>44</v>
      </c>
      <c r="D20" s="10" t="s">
        <v>46</v>
      </c>
      <c r="E20" s="10" t="s">
        <v>53</v>
      </c>
      <c r="F20" s="10" t="s">
        <v>51</v>
      </c>
      <c r="G20" s="10" t="s">
        <v>50</v>
      </c>
      <c r="H20" s="7" t="s">
        <v>60</v>
      </c>
    </row>
    <row r="21" spans="1:14" ht="15.75" x14ac:dyDescent="0.25">
      <c r="A21" s="14" t="s">
        <v>20</v>
      </c>
      <c r="B21" s="9" t="s">
        <v>45</v>
      </c>
      <c r="C21" s="9" t="s">
        <v>45</v>
      </c>
      <c r="D21" s="9" t="s">
        <v>45</v>
      </c>
      <c r="E21" s="9" t="s">
        <v>45</v>
      </c>
      <c r="F21" s="9" t="s">
        <v>45</v>
      </c>
      <c r="G21" s="9" t="s">
        <v>45</v>
      </c>
      <c r="H21" s="7" t="s">
        <v>60</v>
      </c>
      <c r="K21" s="17" t="s">
        <v>75</v>
      </c>
      <c r="L21" s="17" t="s">
        <v>83</v>
      </c>
      <c r="M21" s="17" t="s">
        <v>89</v>
      </c>
      <c r="N21" s="17" t="s">
        <v>88</v>
      </c>
    </row>
    <row r="22" spans="1:14" ht="15.75" x14ac:dyDescent="0.25">
      <c r="A22" s="12" t="s">
        <v>21</v>
      </c>
      <c r="B22" s="10" t="s">
        <v>48</v>
      </c>
      <c r="C22" s="10" t="s">
        <v>44</v>
      </c>
      <c r="D22" s="10" t="s">
        <v>46</v>
      </c>
      <c r="E22" s="10" t="s">
        <v>53</v>
      </c>
      <c r="F22" s="10" t="s">
        <v>51</v>
      </c>
      <c r="G22" s="10" t="s">
        <v>50</v>
      </c>
      <c r="H22" s="7" t="s">
        <v>60</v>
      </c>
      <c r="K22" s="5" t="s">
        <v>76</v>
      </c>
      <c r="L22" s="16" t="s">
        <v>84</v>
      </c>
      <c r="M22" s="16" t="s">
        <v>90</v>
      </c>
      <c r="N22" s="16" t="s">
        <v>94</v>
      </c>
    </row>
    <row r="23" spans="1:14" ht="15.75" x14ac:dyDescent="0.25">
      <c r="A23" s="15" t="s">
        <v>22</v>
      </c>
      <c r="B23" s="9" t="s">
        <v>45</v>
      </c>
      <c r="C23" s="9" t="s">
        <v>45</v>
      </c>
      <c r="D23" s="9" t="s">
        <v>45</v>
      </c>
      <c r="E23" s="9" t="s">
        <v>45</v>
      </c>
      <c r="F23" s="9" t="s">
        <v>45</v>
      </c>
      <c r="G23" s="9" t="s">
        <v>45</v>
      </c>
      <c r="H23" s="7" t="s">
        <v>60</v>
      </c>
      <c r="K23" s="5" t="s">
        <v>77</v>
      </c>
      <c r="L23" s="16" t="s">
        <v>84</v>
      </c>
      <c r="M23" s="16" t="s">
        <v>91</v>
      </c>
      <c r="N23" s="16" t="s">
        <v>95</v>
      </c>
    </row>
    <row r="24" spans="1:14" ht="15.75" x14ac:dyDescent="0.25">
      <c r="A24" s="15" t="s">
        <v>42</v>
      </c>
      <c r="B24" s="11" t="s">
        <v>47</v>
      </c>
      <c r="C24" s="11" t="s">
        <v>47</v>
      </c>
      <c r="D24" s="11" t="s">
        <v>47</v>
      </c>
      <c r="E24" s="11" t="s">
        <v>47</v>
      </c>
      <c r="F24" s="11" t="s">
        <v>47</v>
      </c>
      <c r="G24" s="11" t="s">
        <v>47</v>
      </c>
      <c r="H24" s="11" t="s">
        <v>47</v>
      </c>
      <c r="K24" s="5" t="s">
        <v>78</v>
      </c>
      <c r="L24" s="16" t="s">
        <v>85</v>
      </c>
      <c r="M24" s="16" t="s">
        <v>92</v>
      </c>
      <c r="N24" s="16" t="s">
        <v>96</v>
      </c>
    </row>
    <row r="25" spans="1:14" ht="15.75" x14ac:dyDescent="0.25">
      <c r="A25" s="15" t="s">
        <v>43</v>
      </c>
      <c r="B25" s="9" t="s">
        <v>45</v>
      </c>
      <c r="C25" s="9" t="s">
        <v>45</v>
      </c>
      <c r="D25" s="9" t="s">
        <v>45</v>
      </c>
      <c r="E25" s="9" t="s">
        <v>45</v>
      </c>
      <c r="F25" s="9" t="s">
        <v>45</v>
      </c>
      <c r="G25" s="9" t="s">
        <v>45</v>
      </c>
      <c r="H25" s="9" t="s">
        <v>45</v>
      </c>
      <c r="K25" s="5" t="s">
        <v>79</v>
      </c>
      <c r="L25" s="16" t="s">
        <v>86</v>
      </c>
      <c r="M25" s="16" t="s">
        <v>90</v>
      </c>
      <c r="N25" s="16" t="s">
        <v>100</v>
      </c>
    </row>
    <row r="26" spans="1:14" ht="15.75" x14ac:dyDescent="0.25">
      <c r="A26" s="15" t="s">
        <v>56</v>
      </c>
      <c r="B26" s="10" t="s">
        <v>49</v>
      </c>
      <c r="C26" s="6" t="s">
        <v>59</v>
      </c>
      <c r="D26" s="10" t="s">
        <v>52</v>
      </c>
      <c r="E26" s="10" t="s">
        <v>52</v>
      </c>
      <c r="F26" s="10" t="s">
        <v>44</v>
      </c>
      <c r="G26" s="11" t="s">
        <v>59</v>
      </c>
      <c r="H26" s="6" t="s">
        <v>32</v>
      </c>
      <c r="K26" s="5" t="s">
        <v>80</v>
      </c>
      <c r="L26" s="16" t="s">
        <v>85</v>
      </c>
      <c r="M26" s="16" t="s">
        <v>92</v>
      </c>
      <c r="N26" s="16" t="s">
        <v>96</v>
      </c>
    </row>
    <row r="27" spans="1:14" ht="15.75" x14ac:dyDescent="0.25">
      <c r="A27" s="15" t="s">
        <v>58</v>
      </c>
      <c r="B27" s="9" t="s">
        <v>45</v>
      </c>
      <c r="C27" s="9" t="s">
        <v>45</v>
      </c>
      <c r="D27" s="9" t="s">
        <v>45</v>
      </c>
      <c r="E27" s="9" t="s">
        <v>45</v>
      </c>
      <c r="F27" s="9" t="s">
        <v>45</v>
      </c>
      <c r="G27" s="7" t="s">
        <v>60</v>
      </c>
      <c r="H27" s="9" t="s">
        <v>45</v>
      </c>
      <c r="K27" s="5" t="s">
        <v>81</v>
      </c>
      <c r="L27" s="16" t="s">
        <v>87</v>
      </c>
      <c r="M27" s="16" t="s">
        <v>93</v>
      </c>
      <c r="N27" s="16" t="s">
        <v>93</v>
      </c>
    </row>
    <row r="28" spans="1:14" ht="15.75" x14ac:dyDescent="0.25">
      <c r="A28" s="15" t="s">
        <v>57</v>
      </c>
      <c r="B28" s="11" t="s">
        <v>59</v>
      </c>
      <c r="C28" s="10" t="s">
        <v>50</v>
      </c>
      <c r="D28" s="10" t="s">
        <v>53</v>
      </c>
      <c r="E28" s="10" t="s">
        <v>51</v>
      </c>
      <c r="F28" s="11" t="s">
        <v>59</v>
      </c>
      <c r="G28" s="7" t="s">
        <v>60</v>
      </c>
      <c r="H28" s="11" t="s">
        <v>59</v>
      </c>
      <c r="K28" s="5" t="s">
        <v>82</v>
      </c>
      <c r="L28" s="16" t="s">
        <v>87</v>
      </c>
      <c r="M28" s="16" t="s">
        <v>98</v>
      </c>
      <c r="N28" s="16" t="s">
        <v>98</v>
      </c>
    </row>
    <row r="35" spans="28:30" ht="23.25" x14ac:dyDescent="0.35">
      <c r="AB35" s="19" t="s">
        <v>106</v>
      </c>
      <c r="AC35" s="20" t="s">
        <v>101</v>
      </c>
      <c r="AD35" s="20" t="s">
        <v>102</v>
      </c>
    </row>
    <row r="36" spans="28:30" ht="23.25" x14ac:dyDescent="0.35">
      <c r="AB36" s="19" t="s">
        <v>107</v>
      </c>
      <c r="AC36" s="21"/>
      <c r="AD36" s="22" t="s">
        <v>103</v>
      </c>
    </row>
    <row r="37" spans="28:30" ht="23.25" x14ac:dyDescent="0.35">
      <c r="AB37" s="19" t="s">
        <v>108</v>
      </c>
      <c r="AC37" s="23"/>
      <c r="AD37" s="22" t="s">
        <v>45</v>
      </c>
    </row>
    <row r="38" spans="28:30" ht="23.25" x14ac:dyDescent="0.35">
      <c r="AB38" s="19" t="s">
        <v>107</v>
      </c>
      <c r="AC38" s="24"/>
      <c r="AD38" s="22" t="s">
        <v>105</v>
      </c>
    </row>
    <row r="39" spans="28:30" ht="23.25" x14ac:dyDescent="0.35">
      <c r="AB39" s="19" t="s">
        <v>109</v>
      </c>
      <c r="AC39" s="25"/>
      <c r="AD39" s="22" t="s">
        <v>112</v>
      </c>
    </row>
    <row r="40" spans="28:30" ht="23.25" x14ac:dyDescent="0.35">
      <c r="AB40" s="19" t="s">
        <v>110</v>
      </c>
      <c r="AC40" s="26"/>
      <c r="AD40" s="22" t="s">
        <v>104</v>
      </c>
    </row>
    <row r="41" spans="28:30" ht="23.25" x14ac:dyDescent="0.35">
      <c r="AB41" s="19" t="s">
        <v>111</v>
      </c>
      <c r="AC41" s="27"/>
      <c r="AD41" s="22" t="s">
        <v>31</v>
      </c>
    </row>
  </sheetData>
  <phoneticPr fontId="1" type="noConversion"/>
  <pageMargins left="0.31496062992125984" right="0.31496062992125984" top="0.59055118110236227" bottom="0.59055118110236227" header="0.31496062992125984" footer="0.31496062992125984"/>
  <pageSetup paperSize="9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gg128</dc:creator>
  <cp:lastModifiedBy>gg128</cp:lastModifiedBy>
  <cp:lastPrinted>2024-03-05T17:50:06Z</cp:lastPrinted>
  <dcterms:created xsi:type="dcterms:W3CDTF">2024-03-04T19:32:27Z</dcterms:created>
  <dcterms:modified xsi:type="dcterms:W3CDTF">2024-03-05T17:50:08Z</dcterms:modified>
</cp:coreProperties>
</file>